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1.bin" ContentType="application/vnd.ms-office.activeX"/>
  <Override PartName="/xl/activeX/activeX2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ivemissouristate.sharepoint.com/sites/nCCDC-QualifierMWCCDC2025/Shared Documents/Qualifier MWCCDC 2025/"/>
    </mc:Choice>
  </mc:AlternateContent>
  <xr:revisionPtr revIDLastSave="139" documentId="13_ncr:1_{0B7EF93E-39A1-4EAD-B167-233FB6B08ADF}" xr6:coauthVersionLast="47" xr6:coauthVersionMax="47" xr10:uidLastSave="{E6AA4B84-F244-42A8-AD9D-D33F71288017}"/>
  <bookViews>
    <workbookView xWindow="-108" yWindow="-108" windowWidth="23256" windowHeight="12456" firstSheet="2" activeTab="2" xr2:uid="{11DF8CE6-135F-47EA-83A5-791B4EE45723}"/>
  </bookViews>
  <sheets>
    <sheet name="Team Info" sheetId="4" r:id="rId1"/>
    <sheet name="REPORT FORM" sheetId="1" r:id="rId2"/>
    <sheet name="REPORT PDF" sheetId="3" r:id="rId3"/>
    <sheet name="DONT TOUCH" sheetId="2" r:id="rId4"/>
  </sheets>
  <definedNames>
    <definedName name="_xlnm.Print_Titles" localSheetId="2">'REPORT PDF'!$1:$2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A1" i="3"/>
  <c r="S20" i="2"/>
  <c r="I15" i="3" s="1"/>
  <c r="P9" i="2" l="1"/>
  <c r="S9" i="2" s="1"/>
  <c r="I10" i="3" s="1"/>
  <c r="P7" i="2"/>
  <c r="S7" i="2" s="1"/>
  <c r="I9" i="3" s="1"/>
  <c r="P16" i="2"/>
  <c r="S16" i="2" s="1"/>
  <c r="E23" i="3" s="1"/>
  <c r="P17" i="2"/>
  <c r="S17" i="2" s="1"/>
  <c r="E28" i="3" s="1"/>
  <c r="P18" i="2"/>
  <c r="S18" i="2" s="1"/>
  <c r="E33" i="3" s="1"/>
  <c r="P19" i="2"/>
  <c r="S19" i="2" s="1"/>
  <c r="E38" i="3" s="1"/>
  <c r="P15" i="2"/>
  <c r="S15" i="2" s="1"/>
  <c r="E18" i="3" s="1"/>
  <c r="P13" i="2"/>
  <c r="S13" i="2" s="1"/>
  <c r="E15" i="3" s="1"/>
  <c r="P14" i="2"/>
  <c r="S14" i="2" s="1"/>
  <c r="E16" i="3" s="1"/>
  <c r="P11" i="2"/>
  <c r="I12" i="3" s="1"/>
  <c r="P12" i="2"/>
  <c r="S12" i="2" s="1"/>
  <c r="E13" i="3" s="1"/>
  <c r="P10" i="2"/>
  <c r="S10" i="2" s="1"/>
  <c r="E12" i="3" s="1"/>
  <c r="P4" i="2"/>
  <c r="S4" i="2" s="1"/>
  <c r="P5" i="2"/>
  <c r="S5" i="2" s="1"/>
  <c r="D5" i="3" s="1"/>
  <c r="P3" i="2"/>
  <c r="S3" i="2" s="1"/>
  <c r="B3" i="3" s="1"/>
  <c r="P2" i="2"/>
  <c r="S2" i="2" s="1"/>
  <c r="C4" i="3" l="1"/>
  <c r="H46" i="3"/>
  <c r="B7" i="1"/>
  <c r="P6" i="2" s="1"/>
  <c r="S6" i="2" s="1"/>
  <c r="E9" i="3" s="1"/>
  <c r="B9" i="1"/>
  <c r="P8" i="2" s="1"/>
  <c r="S8" i="2" s="1"/>
  <c r="E10" i="3" s="1"/>
</calcChain>
</file>

<file path=xl/sharedStrings.xml><?xml version="1.0" encoding="utf-8"?>
<sst xmlns="http://schemas.openxmlformats.org/spreadsheetml/2006/main" count="193" uniqueCount="91">
  <si>
    <t>Team Information</t>
  </si>
  <si>
    <t>Team #</t>
  </si>
  <si>
    <t>WHO</t>
  </si>
  <si>
    <t>Incident Report Form</t>
  </si>
  <si>
    <t>Incident ID</t>
  </si>
  <si>
    <t>01</t>
  </si>
  <si>
    <r>
      <rPr>
        <b/>
        <sz val="14"/>
        <color theme="1"/>
        <rFont val="Calibri"/>
        <family val="2"/>
        <scheme val="minor"/>
      </rPr>
      <t>Incident ID Format:</t>
    </r>
    <r>
      <rPr>
        <sz val="14"/>
        <color theme="1"/>
        <rFont val="Calibri"/>
        <family val="2"/>
        <scheme val="minor"/>
      </rPr>
      <t xml:space="preserve">     Must type the ID number in with a single apostrophe ( ' ) leading the number</t>
    </r>
  </si>
  <si>
    <t>Report History</t>
  </si>
  <si>
    <t>To</t>
  </si>
  <si>
    <t>ID</t>
  </si>
  <si>
    <t>Time</t>
  </si>
  <si>
    <t>Type of Attack</t>
  </si>
  <si>
    <t>Vulnerability Analysis</t>
  </si>
  <si>
    <t>Discovery</t>
  </si>
  <si>
    <t>Containment</t>
  </si>
  <si>
    <t>Remediation for Attack</t>
  </si>
  <si>
    <t>Final Assessment</t>
  </si>
  <si>
    <t>From</t>
  </si>
  <si>
    <r>
      <rPr>
        <b/>
        <sz val="12"/>
        <color theme="1"/>
        <rFont val="Calibri"/>
        <family val="2"/>
        <scheme val="minor"/>
      </rPr>
      <t>Convert from Central Time to UTC:</t>
    </r>
    <r>
      <rPr>
        <sz val="12"/>
        <color theme="1"/>
        <rFont val="Calibri"/>
        <family val="2"/>
        <scheme val="minor"/>
      </rPr>
      <t xml:space="preserve">    ADD +6 hrs</t>
    </r>
  </si>
  <si>
    <t xml:space="preserve">Eg. </t>
  </si>
  <si>
    <t>Subject</t>
  </si>
  <si>
    <t>Incident Report</t>
  </si>
  <si>
    <t/>
  </si>
  <si>
    <t>Denial of Service</t>
  </si>
  <si>
    <t>Attack Date</t>
  </si>
  <si>
    <t>Attack Time</t>
  </si>
  <si>
    <t>Discovery Date</t>
  </si>
  <si>
    <t>Discovery Time</t>
  </si>
  <si>
    <t>Source IP</t>
  </si>
  <si>
    <t>Dest. IP</t>
  </si>
  <si>
    <t>Target Port</t>
  </si>
  <si>
    <t>Results of Attack</t>
  </si>
  <si>
    <t>Severity</t>
  </si>
  <si>
    <t>Medium</t>
  </si>
  <si>
    <t>To:</t>
  </si>
  <si>
    <t>From:</t>
  </si>
  <si>
    <t>Subject:</t>
  </si>
  <si>
    <t>Incident Details</t>
  </si>
  <si>
    <t>Attack Date:</t>
  </si>
  <si>
    <t>Attack Time:</t>
  </si>
  <si>
    <t>Discovery Date:</t>
  </si>
  <si>
    <t>Discovery Time:</t>
  </si>
  <si>
    <t>Source IP:</t>
  </si>
  <si>
    <t>Dest. IP:</t>
  </si>
  <si>
    <t>Target Port:</t>
  </si>
  <si>
    <t>Type of Attack:</t>
  </si>
  <si>
    <t>Severity:</t>
  </si>
  <si>
    <t>Result of Attack:</t>
  </si>
  <si>
    <t>Vulnerability Analysis:</t>
  </si>
  <si>
    <t>Discovery:</t>
  </si>
  <si>
    <t>Containment:</t>
  </si>
  <si>
    <t>Remediation for Attack:</t>
  </si>
  <si>
    <t>Final Assessment:</t>
  </si>
  <si>
    <t>We apologize for this occurrence, but we have acted swiftly to contain and remediate it.</t>
  </si>
  <si>
    <t>Thank you.</t>
  </si>
  <si>
    <t>Signed:</t>
  </si>
  <si>
    <t>System Name</t>
  </si>
  <si>
    <t>IP Address</t>
  </si>
  <si>
    <t>NAT Translation</t>
  </si>
  <si>
    <t>RAW DATA</t>
  </si>
  <si>
    <t>FIXED DATA</t>
  </si>
  <si>
    <t>Low</t>
  </si>
  <si>
    <t>PaloAlto Firewall</t>
  </si>
  <si>
    <t>172.20.242.150</t>
  </si>
  <si>
    <t>Windows 10</t>
  </si>
  <si>
    <t>172.31.30.5</t>
  </si>
  <si>
    <t>Malicious IP</t>
  </si>
  <si>
    <t>High</t>
  </si>
  <si>
    <t>Server 2016</t>
  </si>
  <si>
    <t>172.20.240.10</t>
  </si>
  <si>
    <t>Malicious Port</t>
  </si>
  <si>
    <t>Debian</t>
  </si>
  <si>
    <t>172.20.240.20</t>
  </si>
  <si>
    <t>Suspicious IP</t>
  </si>
  <si>
    <t>Ubuntu Srv</t>
  </si>
  <si>
    <t>172.20.242.10</t>
  </si>
  <si>
    <t>Suspicious Port</t>
  </si>
  <si>
    <t>Server 2012</t>
  </si>
  <si>
    <t>172.25.23.27</t>
  </si>
  <si>
    <t>Unusual Configuration</t>
  </si>
  <si>
    <t>Ubuntu Wkst</t>
  </si>
  <si>
    <t>Dynamic IP</t>
  </si>
  <si>
    <t>Unusual Activity</t>
  </si>
  <si>
    <t>Splunk</t>
  </si>
  <si>
    <t>172.25.23.9</t>
  </si>
  <si>
    <t>CentOS</t>
  </si>
  <si>
    <t>172.20.23.11</t>
  </si>
  <si>
    <t>Fedora</t>
  </si>
  <si>
    <t>172.20.241.40</t>
  </si>
  <si>
    <t>192.168.10.153</t>
  </si>
  <si>
    <t>1.2.3.4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</si>
</sst>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1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Arial Black"/>
      <family val="2"/>
    </font>
    <font>
      <b/>
      <sz val="11"/>
      <color theme="1"/>
      <name val="Constantia"/>
      <family val="1"/>
    </font>
    <font>
      <sz val="11"/>
      <color theme="1"/>
      <name val="Constantia"/>
      <family val="1"/>
    </font>
    <font>
      <b/>
      <u/>
      <sz val="14"/>
      <color theme="1"/>
      <name val="Constantia"/>
      <family val="1"/>
    </font>
    <font>
      <b/>
      <sz val="26"/>
      <color theme="1"/>
      <name val="Calibri"/>
      <family val="2"/>
      <scheme val="minor"/>
    </font>
    <font>
      <sz val="10"/>
      <color theme="1"/>
      <name val="Constantia"/>
      <family val="1"/>
    </font>
    <font>
      <b/>
      <sz val="2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horizontal="right"/>
    </xf>
    <xf numFmtId="0" fontId="5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>
      <alignment horizontal="left" indent="2"/>
    </xf>
    <xf numFmtId="0" fontId="5" fillId="0" borderId="0" xfId="0" applyFont="1" applyAlignment="1">
      <alignment horizontal="left" vertical="center" indent="2"/>
    </xf>
    <xf numFmtId="0" fontId="4" fillId="2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 indent="1"/>
    </xf>
    <xf numFmtId="0" fontId="2" fillId="0" borderId="3" xfId="0" applyFont="1" applyBorder="1" applyAlignment="1">
      <alignment horizontal="left" vertical="center" indent="1"/>
    </xf>
    <xf numFmtId="0" fontId="2" fillId="0" borderId="4" xfId="0" applyFont="1" applyBorder="1" applyAlignment="1">
      <alignment horizontal="left" vertical="center" indent="1"/>
    </xf>
    <xf numFmtId="0" fontId="2" fillId="0" borderId="0" xfId="0" applyFont="1"/>
    <xf numFmtId="0" fontId="4" fillId="0" borderId="12" xfId="0" applyFont="1" applyBorder="1"/>
    <xf numFmtId="0" fontId="2" fillId="0" borderId="2" xfId="0" applyFont="1" applyBorder="1"/>
    <xf numFmtId="0" fontId="2" fillId="0" borderId="13" xfId="0" applyFont="1" applyBorder="1"/>
    <xf numFmtId="0" fontId="2" fillId="0" borderId="3" xfId="0" applyFont="1" applyBorder="1"/>
    <xf numFmtId="14" fontId="2" fillId="0" borderId="3" xfId="0" applyNumberFormat="1" applyFont="1" applyBorder="1"/>
    <xf numFmtId="0" fontId="2" fillId="0" borderId="14" xfId="0" applyFont="1" applyBorder="1"/>
    <xf numFmtId="0" fontId="2" fillId="0" borderId="4" xfId="0" applyFont="1" applyBorder="1"/>
    <xf numFmtId="0" fontId="2" fillId="4" borderId="0" xfId="0" applyFont="1" applyFill="1" applyAlignment="1">
      <alignment horizontal="center" vertical="center" wrapText="1"/>
    </xf>
    <xf numFmtId="0" fontId="11" fillId="0" borderId="0" xfId="0" applyFont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15" xfId="0" applyBorder="1"/>
    <xf numFmtId="0" fontId="10" fillId="0" borderId="0" xfId="0" applyFont="1" applyAlignment="1">
      <alignment horizontal="right" vertical="center" indent="1"/>
    </xf>
    <xf numFmtId="0" fontId="10" fillId="0" borderId="0" xfId="0" applyFont="1" applyAlignment="1">
      <alignment horizontal="right" indent="1"/>
    </xf>
    <xf numFmtId="14" fontId="11" fillId="0" borderId="15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wrapText="1"/>
    </xf>
    <xf numFmtId="0" fontId="11" fillId="0" borderId="15" xfId="0" applyFont="1" applyBorder="1" applyAlignment="1">
      <alignment vertical="center"/>
    </xf>
    <xf numFmtId="0" fontId="10" fillId="0" borderId="0" xfId="0" applyFont="1" applyAlignment="1">
      <alignment horizontal="left" vertical="center" wrapText="1"/>
    </xf>
    <xf numFmtId="18" fontId="2" fillId="0" borderId="9" xfId="0" applyNumberFormat="1" applyFont="1" applyBorder="1" applyAlignment="1">
      <alignment horizontal="left" vertical="center" indent="1"/>
    </xf>
    <xf numFmtId="164" fontId="2" fillId="0" borderId="3" xfId="0" applyNumberFormat="1" applyFont="1" applyBorder="1"/>
    <xf numFmtId="14" fontId="2" fillId="2" borderId="8" xfId="0" applyNumberFormat="1" applyFont="1" applyFill="1" applyBorder="1" applyAlignment="1">
      <alignment horizontal="left" vertical="center" indent="1"/>
    </xf>
    <xf numFmtId="14" fontId="2" fillId="2" borderId="9" xfId="0" applyNumberFormat="1" applyFont="1" applyFill="1" applyBorder="1" applyAlignment="1">
      <alignment horizontal="left" vertical="center" indent="1"/>
    </xf>
    <xf numFmtId="0" fontId="4" fillId="2" borderId="16" xfId="0" applyFont="1" applyFill="1" applyBorder="1" applyAlignment="1">
      <alignment horizontal="left" vertical="center"/>
    </xf>
    <xf numFmtId="0" fontId="8" fillId="0" borderId="17" xfId="0" quotePrefix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15" xfId="0" applyFont="1" applyBorder="1" applyAlignment="1">
      <alignment horizontal="left" vertical="center"/>
    </xf>
    <xf numFmtId="0" fontId="11" fillId="0" borderId="15" xfId="0" applyFont="1" applyBorder="1" applyAlignment="1">
      <alignment horizontal="left"/>
    </xf>
    <xf numFmtId="0" fontId="13" fillId="0" borderId="0" xfId="0" applyFont="1"/>
    <xf numFmtId="0" fontId="1" fillId="0" borderId="1" xfId="0" applyFont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1" fillId="0" borderId="15" xfId="0" applyFont="1" applyBorder="1" applyAlignment="1">
      <alignment horizontal="left" vertical="center" indent="1"/>
    </xf>
    <xf numFmtId="0" fontId="2" fillId="3" borderId="1" xfId="0" applyFont="1" applyFill="1" applyBorder="1"/>
    <xf numFmtId="18" fontId="2" fillId="0" borderId="7" xfId="0" applyNumberFormat="1" applyFont="1" applyBorder="1" applyAlignment="1">
      <alignment horizontal="left" vertical="center" indent="1"/>
    </xf>
    <xf numFmtId="0" fontId="4" fillId="0" borderId="1" xfId="0" applyFont="1" applyBorder="1"/>
    <xf numFmtId="0" fontId="4" fillId="0" borderId="10" xfId="0" applyFont="1" applyBorder="1"/>
    <xf numFmtId="0" fontId="15" fillId="0" borderId="0" xfId="0" applyFont="1"/>
    <xf numFmtId="0" fontId="6" fillId="3" borderId="10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center"/>
    </xf>
    <xf numFmtId="0" fontId="7" fillId="0" borderId="11" xfId="0" applyFont="1" applyBorder="1" applyAlignment="1">
      <alignment horizontal="left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 indent="1"/>
    </xf>
    <xf numFmtId="0" fontId="10" fillId="0" borderId="0" xfId="0" applyFont="1" applyAlignment="1">
      <alignment horizontal="right" vertical="center" wrapText="1" indent="1"/>
    </xf>
    <xf numFmtId="0" fontId="14" fillId="5" borderId="0" xfId="0" applyFont="1" applyFill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0" fontId="10" fillId="0" borderId="0" xfId="0" applyFont="1" applyAlignment="1">
      <alignment horizontal="right" vertical="center" wrapText="1"/>
    </xf>
  </cellXfs>
  <cellStyles count="1">
    <cellStyle name="Normal" xfId="0" builtinId="0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1027" name="ComboBox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2727960</xdr:colOff>
          <xdr:row>11</xdr:row>
          <xdr:rowOff>175260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563880</xdr:colOff>
          <xdr:row>11</xdr:row>
          <xdr:rowOff>175260</xdr:rowOff>
        </xdr:from>
        <xdr:to>
          <xdr:col>2</xdr:col>
          <xdr:colOff>2400300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1127760</xdr:colOff>
          <xdr:row>4</xdr:row>
          <xdr:rowOff>190500</xdr:rowOff>
        </xdr:from>
        <xdr:to>
          <xdr:col>3</xdr:col>
          <xdr:colOff>327660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Form</a:t>
              </a:r>
            </a:p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0</xdr:row>
      <xdr:rowOff>0</xdr:rowOff>
    </xdr:from>
    <xdr:to>
      <xdr:col>12</xdr:col>
      <xdr:colOff>0</xdr:colOff>
      <xdr:row>839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2200" y="0"/>
          <a:ext cx="609600" cy="15986760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106680</xdr:colOff>
      <xdr:row>48</xdr:row>
      <xdr:rowOff>142875</xdr:rowOff>
    </xdr:from>
    <xdr:to>
      <xdr:col>19</xdr:col>
      <xdr:colOff>259080</xdr:colOff>
      <xdr:row>57</xdr:row>
      <xdr:rowOff>67310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3240" y="8982075"/>
          <a:ext cx="4419600" cy="1570355"/>
        </a:xfrm>
        <a:prstGeom prst="rect">
          <a:avLst/>
        </a:prstGeom>
      </xdr:spPr>
    </xdr:pic>
    <xdr:clientData fPrintsWithSheet="0"/>
  </xdr:twoCellAnchor>
  <xdr:twoCellAnchor>
    <xdr:from>
      <xdr:col>12</xdr:col>
      <xdr:colOff>173355</xdr:colOff>
      <xdr:row>45</xdr:row>
      <xdr:rowOff>22860</xdr:rowOff>
    </xdr:from>
    <xdr:to>
      <xdr:col>15</xdr:col>
      <xdr:colOff>220980</xdr:colOff>
      <xdr:row>48</xdr:row>
      <xdr:rowOff>146685</xdr:rowOff>
    </xdr:to>
    <xdr:sp macro="" textlink="">
      <xdr:nvSpPr>
        <xdr:cNvPr id="8" name="Arrow: Lef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6939915" y="8313420"/>
          <a:ext cx="1876425" cy="672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 editAs="oneCell">
    <xdr:from>
      <xdr:col>13</xdr:col>
      <xdr:colOff>38101</xdr:colOff>
      <xdr:row>0</xdr:row>
      <xdr:rowOff>76199</xdr:rowOff>
    </xdr:from>
    <xdr:to>
      <xdr:col>18</xdr:col>
      <xdr:colOff>390525</xdr:colOff>
      <xdr:row>6</xdr:row>
      <xdr:rowOff>117535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7101" y="76199"/>
          <a:ext cx="3400424" cy="1184336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106680</xdr:colOff>
          <xdr:row>17</xdr:row>
          <xdr:rowOff>160020</xdr:rowOff>
        </xdr:from>
        <xdr:to>
          <xdr:col>17</xdr:col>
          <xdr:colOff>441960</xdr:colOff>
          <xdr:row>24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Back</a:t>
              </a:r>
            </a:p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518160</xdr:colOff>
          <xdr:row>7</xdr:row>
          <xdr:rowOff>106680</xdr:rowOff>
        </xdr:from>
        <xdr:to>
          <xdr:col>18</xdr:col>
          <xdr:colOff>60960</xdr:colOff>
          <xdr:row>15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</a:t>
              </a:r>
            </a:p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68580</xdr:colOff>
      <xdr:row>46</xdr:row>
      <xdr:rowOff>161924</xdr:rowOff>
    </xdr:from>
    <xdr:to>
      <xdr:col>10</xdr:col>
      <xdr:colOff>352708</xdr:colOff>
      <xdr:row>66</xdr:row>
      <xdr:rowOff>64769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" y="8635364"/>
          <a:ext cx="6029608" cy="3560445"/>
        </a:xfrm>
        <a:prstGeom prst="rect">
          <a:avLst/>
        </a:prstGeom>
      </xdr:spPr>
    </xdr:pic>
    <xdr:clientData/>
  </xdr:twoCellAnchor>
  <xdr:twoCellAnchor>
    <xdr:from>
      <xdr:col>12</xdr:col>
      <xdr:colOff>158115</xdr:colOff>
      <xdr:row>89</xdr:row>
      <xdr:rowOff>15240</xdr:rowOff>
    </xdr:from>
    <xdr:to>
      <xdr:col>15</xdr:col>
      <xdr:colOff>205740</xdr:colOff>
      <xdr:row>92</xdr:row>
      <xdr:rowOff>139065</xdr:rowOff>
    </xdr:to>
    <xdr:sp macro="" textlink="">
      <xdr:nvSpPr>
        <xdr:cNvPr id="9" name="Arrow: Lef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6924675" y="16352520"/>
          <a:ext cx="1876425" cy="67246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239758</xdr:colOff>
      <xdr:row>133</xdr:row>
      <xdr:rowOff>48986</xdr:rowOff>
    </xdr:from>
    <xdr:to>
      <xdr:col>15</xdr:col>
      <xdr:colOff>287383</xdr:colOff>
      <xdr:row>136</xdr:row>
      <xdr:rowOff>174988</xdr:rowOff>
    </xdr:to>
    <xdr:sp macro="" textlink="">
      <xdr:nvSpPr>
        <xdr:cNvPr id="11" name="Arrow: Lef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999787" y="24726900"/>
          <a:ext cx="1876425" cy="68117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141787</xdr:colOff>
      <xdr:row>177</xdr:row>
      <xdr:rowOff>19050</xdr:rowOff>
    </xdr:from>
    <xdr:to>
      <xdr:col>15</xdr:col>
      <xdr:colOff>189412</xdr:colOff>
      <xdr:row>180</xdr:row>
      <xdr:rowOff>145052</xdr:rowOff>
    </xdr:to>
    <xdr:sp macro="" textlink="">
      <xdr:nvSpPr>
        <xdr:cNvPr id="12" name="Arrow: Lef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923587" y="337756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237037</xdr:colOff>
      <xdr:row>221</xdr:row>
      <xdr:rowOff>95250</xdr:rowOff>
    </xdr:from>
    <xdr:to>
      <xdr:col>15</xdr:col>
      <xdr:colOff>284662</xdr:colOff>
      <xdr:row>225</xdr:row>
      <xdr:rowOff>30752</xdr:rowOff>
    </xdr:to>
    <xdr:sp macro="" textlink="">
      <xdr:nvSpPr>
        <xdr:cNvPr id="13" name="Arrow: Lef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018837" y="422338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217987</xdr:colOff>
      <xdr:row>265</xdr:row>
      <xdr:rowOff>38100</xdr:rowOff>
    </xdr:from>
    <xdr:to>
      <xdr:col>15</xdr:col>
      <xdr:colOff>265612</xdr:colOff>
      <xdr:row>268</xdr:row>
      <xdr:rowOff>164102</xdr:rowOff>
    </xdr:to>
    <xdr:sp macro="" textlink="">
      <xdr:nvSpPr>
        <xdr:cNvPr id="14" name="Arrow: Lef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999787" y="5055870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198937</xdr:colOff>
      <xdr:row>309</xdr:row>
      <xdr:rowOff>76200</xdr:rowOff>
    </xdr:from>
    <xdr:to>
      <xdr:col>15</xdr:col>
      <xdr:colOff>246562</xdr:colOff>
      <xdr:row>313</xdr:row>
      <xdr:rowOff>11702</xdr:rowOff>
    </xdr:to>
    <xdr:sp macro="" textlink="">
      <xdr:nvSpPr>
        <xdr:cNvPr id="15" name="Arrow: Lef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980737" y="5897880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217987</xdr:colOff>
      <xdr:row>353</xdr:row>
      <xdr:rowOff>95250</xdr:rowOff>
    </xdr:from>
    <xdr:to>
      <xdr:col>15</xdr:col>
      <xdr:colOff>265612</xdr:colOff>
      <xdr:row>357</xdr:row>
      <xdr:rowOff>30752</xdr:rowOff>
    </xdr:to>
    <xdr:sp macro="" textlink="">
      <xdr:nvSpPr>
        <xdr:cNvPr id="16" name="Arrow: Lef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999787" y="673798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237037</xdr:colOff>
      <xdr:row>397</xdr:row>
      <xdr:rowOff>19050</xdr:rowOff>
    </xdr:from>
    <xdr:to>
      <xdr:col>15</xdr:col>
      <xdr:colOff>284662</xdr:colOff>
      <xdr:row>400</xdr:row>
      <xdr:rowOff>145052</xdr:rowOff>
    </xdr:to>
    <xdr:sp macro="" textlink="">
      <xdr:nvSpPr>
        <xdr:cNvPr id="17" name="Arrow: Lef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7018837" y="756856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237037</xdr:colOff>
      <xdr:row>441</xdr:row>
      <xdr:rowOff>95250</xdr:rowOff>
    </xdr:from>
    <xdr:to>
      <xdr:col>15</xdr:col>
      <xdr:colOff>284662</xdr:colOff>
      <xdr:row>445</xdr:row>
      <xdr:rowOff>30752</xdr:rowOff>
    </xdr:to>
    <xdr:sp macro="" textlink="">
      <xdr:nvSpPr>
        <xdr:cNvPr id="18" name="Arrow: Lef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7018837" y="841438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217987</xdr:colOff>
      <xdr:row>485</xdr:row>
      <xdr:rowOff>114300</xdr:rowOff>
    </xdr:from>
    <xdr:to>
      <xdr:col>15</xdr:col>
      <xdr:colOff>265612</xdr:colOff>
      <xdr:row>489</xdr:row>
      <xdr:rowOff>49802</xdr:rowOff>
    </xdr:to>
    <xdr:sp macro="" textlink="">
      <xdr:nvSpPr>
        <xdr:cNvPr id="19" name="Arrow: Lef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6999787" y="9254490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313237</xdr:colOff>
      <xdr:row>529</xdr:row>
      <xdr:rowOff>57150</xdr:rowOff>
    </xdr:from>
    <xdr:to>
      <xdr:col>15</xdr:col>
      <xdr:colOff>360862</xdr:colOff>
      <xdr:row>532</xdr:row>
      <xdr:rowOff>183152</xdr:rowOff>
    </xdr:to>
    <xdr:sp macro="" textlink="">
      <xdr:nvSpPr>
        <xdr:cNvPr id="20" name="Arrow: Lef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7095037" y="1008697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313237</xdr:colOff>
      <xdr:row>573</xdr:row>
      <xdr:rowOff>114300</xdr:rowOff>
    </xdr:from>
    <xdr:to>
      <xdr:col>15</xdr:col>
      <xdr:colOff>360862</xdr:colOff>
      <xdr:row>577</xdr:row>
      <xdr:rowOff>49802</xdr:rowOff>
    </xdr:to>
    <xdr:sp macro="" textlink="">
      <xdr:nvSpPr>
        <xdr:cNvPr id="21" name="Arrow: Lef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7095037" y="10930890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275137</xdr:colOff>
      <xdr:row>617</xdr:row>
      <xdr:rowOff>57150</xdr:rowOff>
    </xdr:from>
    <xdr:to>
      <xdr:col>15</xdr:col>
      <xdr:colOff>322762</xdr:colOff>
      <xdr:row>620</xdr:row>
      <xdr:rowOff>183152</xdr:rowOff>
    </xdr:to>
    <xdr:sp macro="" textlink="">
      <xdr:nvSpPr>
        <xdr:cNvPr id="22" name="Arrow: Lef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7056937" y="1176337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408487</xdr:colOff>
      <xdr:row>661</xdr:row>
      <xdr:rowOff>38100</xdr:rowOff>
    </xdr:from>
    <xdr:to>
      <xdr:col>15</xdr:col>
      <xdr:colOff>456112</xdr:colOff>
      <xdr:row>664</xdr:row>
      <xdr:rowOff>164102</xdr:rowOff>
    </xdr:to>
    <xdr:sp macro="" textlink="">
      <xdr:nvSpPr>
        <xdr:cNvPr id="23" name="Arrow: Left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7190287" y="12599670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217987</xdr:colOff>
      <xdr:row>705</xdr:row>
      <xdr:rowOff>57150</xdr:rowOff>
    </xdr:from>
    <xdr:to>
      <xdr:col>15</xdr:col>
      <xdr:colOff>265612</xdr:colOff>
      <xdr:row>708</xdr:row>
      <xdr:rowOff>183152</xdr:rowOff>
    </xdr:to>
    <xdr:sp macro="" textlink="">
      <xdr:nvSpPr>
        <xdr:cNvPr id="24" name="Arrow: Lef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999787" y="1343977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179887</xdr:colOff>
      <xdr:row>749</xdr:row>
      <xdr:rowOff>57150</xdr:rowOff>
    </xdr:from>
    <xdr:to>
      <xdr:col>15</xdr:col>
      <xdr:colOff>227512</xdr:colOff>
      <xdr:row>752</xdr:row>
      <xdr:rowOff>183152</xdr:rowOff>
    </xdr:to>
    <xdr:sp macro="" textlink="">
      <xdr:nvSpPr>
        <xdr:cNvPr id="25" name="Arrow: Lef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6961687" y="1427797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275137</xdr:colOff>
      <xdr:row>793</xdr:row>
      <xdr:rowOff>95250</xdr:rowOff>
    </xdr:from>
    <xdr:to>
      <xdr:col>15</xdr:col>
      <xdr:colOff>322762</xdr:colOff>
      <xdr:row>797</xdr:row>
      <xdr:rowOff>30752</xdr:rowOff>
    </xdr:to>
    <xdr:sp macro="" textlink="">
      <xdr:nvSpPr>
        <xdr:cNvPr id="26" name="Arrow: Lef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7056937" y="1511998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  <xdr:twoCellAnchor>
    <xdr:from>
      <xdr:col>12</xdr:col>
      <xdr:colOff>237037</xdr:colOff>
      <xdr:row>836</xdr:row>
      <xdr:rowOff>171450</xdr:rowOff>
    </xdr:from>
    <xdr:to>
      <xdr:col>15</xdr:col>
      <xdr:colOff>284662</xdr:colOff>
      <xdr:row>840</xdr:row>
      <xdr:rowOff>106952</xdr:rowOff>
    </xdr:to>
    <xdr:sp macro="" textlink="">
      <xdr:nvSpPr>
        <xdr:cNvPr id="27" name="Arrow: Lef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7018837" y="159467550"/>
          <a:ext cx="1876425" cy="697502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4B1F52-FAF8-4632-A15D-D5BC9B6ACC86}" name="Table4" displayName="Table4" ref="H3:O20" totalsRowShown="0" headerRowDxfId="20" dataDxfId="19">
  <autoFilter ref="H3:O20" xr:uid="{81FD458C-A6C4-4D94-935D-56B2ECC8A987}"/>
  <tableColumns count="8">
    <tableColumn id="1" xr3:uid="{929080CC-3AC2-4393-A8D9-E18BE1340900}" name="ID" dataDxfId="18"/>
    <tableColumn id="2" xr3:uid="{D682327D-0BF7-48DA-86FF-8AF5CBF93E6C}" name="Time" dataDxfId="17"/>
    <tableColumn id="3" xr3:uid="{57090F85-EB05-4432-8188-D593E3E96A7A}" name="Type of Attack" dataDxfId="16"/>
    <tableColumn id="4" xr3:uid="{ED68F8AD-6EB8-4380-AEDE-9B6E33F1F7EE}" name="Vulnerability Analysis" dataDxfId="15"/>
    <tableColumn id="5" xr3:uid="{2D9C853F-5A43-4253-A2CC-0775B13C59E1}" name="Discovery" dataDxfId="14"/>
    <tableColumn id="6" xr3:uid="{99730B41-CFF4-4BAA-9B56-2850C73D0DC1}" name="Containment" dataDxfId="13"/>
    <tableColumn id="7" xr3:uid="{82A02894-0526-41DC-BAF3-AA4AA33167AF}" name="Remediation for Attack" dataDxfId="12"/>
    <tableColumn id="8" xr3:uid="{7E95DF88-EE1F-4420-A671-18950B2373E2}" name="Final Assessment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956725E-5F83-47A2-952B-AE4DDC99F506}" name="Table1" displayName="Table1" ref="F1:H14" totalsRowShown="0" headerRowDxfId="10" dataDxfId="9">
  <autoFilter ref="F1:H14" xr:uid="{9B34C372-7802-4528-B02F-3161C4766156}"/>
  <tableColumns count="3">
    <tableColumn id="1" xr3:uid="{37AE56D7-E368-4B53-A24B-91E2CDF2CC51}" name="System Name" dataDxfId="8"/>
    <tableColumn id="2" xr3:uid="{AB0B7C12-74EB-41DB-9E2E-4B20EFC4827F}" name="IP Address" dataDxfId="7"/>
    <tableColumn id="3" xr3:uid="{C005116B-6CF6-4E20-8BC9-C57B25F7DBEA}" name="NAT Translatio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75D0022-B89E-4650-85D0-1037EAB43977}" name="Table2" displayName="Table2" ref="J1:J9" totalsRowShown="0" headerRowDxfId="5" dataDxfId="4">
  <autoFilter ref="J1:J9" xr:uid="{9302020B-4674-4EBF-80A8-D390D57F8925}"/>
  <tableColumns count="1">
    <tableColumn id="1" xr3:uid="{A7C1FA41-54B4-429E-B3BC-8D67038B7E8F}" name="Type of Attack" dataDxfId="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D0E299-9957-4F53-A61D-ECBA827BE396}" name="Table3" displayName="Table3" ref="L1:L4" totalsRowShown="0" headerRowDxfId="2" dataDxfId="1">
  <autoFilter ref="L1:L4" xr:uid="{B5B99D14-8446-46BA-B6B8-8F04BEC23A37}"/>
  <tableColumns count="1">
    <tableColumn id="1" xr3:uid="{3E2FCC5C-14C3-4E8E-8E7F-7DB80457ED5C}" name="Severit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E2FDF-D8E0-4D73-B2E7-E7680D58D2CD}">
  <sheetPr codeName="Sheet4"/>
  <dimension ref="A1:B5"/>
  <sheetViews>
    <sheetView workbookViewId="0">
      <selection activeCell="B7" sqref="B7"/>
    </sheetView>
  </sheetViews>
  <sheetFormatPr defaultColWidth="8.85546875" defaultRowHeight="18"/>
  <cols>
    <col min="1" max="1" width="8.85546875" style="17"/>
    <col min="2" max="2" width="17.42578125" style="17" customWidth="1"/>
    <col min="3" max="16384" width="8.85546875" style="17"/>
  </cols>
  <sheetData>
    <row r="1" spans="1:2" ht="36.6">
      <c r="A1" s="57" t="s">
        <v>0</v>
      </c>
    </row>
    <row r="2" spans="1:2" ht="18.600000000000001" thickBot="1"/>
    <row r="3" spans="1:2" ht="18.600000000000001" thickBot="1">
      <c r="A3" s="55" t="s">
        <v>1</v>
      </c>
      <c r="B3" s="53"/>
    </row>
    <row r="4" spans="1:2" ht="18.600000000000001" thickBot="1"/>
    <row r="5" spans="1:2" ht="18.600000000000001" thickBot="1">
      <c r="A5" s="56" t="s">
        <v>2</v>
      </c>
      <c r="B5" s="5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59B2C-6A0E-4D4B-A2F8-CA8ABFDC47D2}">
  <sheetPr codeName="Sheet1"/>
  <dimension ref="A1:O25"/>
  <sheetViews>
    <sheetView zoomScaleNormal="100" workbookViewId="0">
      <selection sqref="A1:B1"/>
    </sheetView>
  </sheetViews>
  <sheetFormatPr defaultColWidth="9.140625" defaultRowHeight="15.6"/>
  <cols>
    <col min="1" max="1" width="24.28515625" style="3" customWidth="1"/>
    <col min="2" max="2" width="33.85546875" style="1" customWidth="1"/>
    <col min="3" max="3" width="59.28515625" style="1" customWidth="1"/>
    <col min="4" max="7" width="9.140625" style="1"/>
    <col min="8" max="8" width="14.42578125" style="1" bestFit="1" customWidth="1"/>
    <col min="9" max="9" width="9.28515625" style="1" bestFit="1" customWidth="1"/>
    <col min="10" max="10" width="17.42578125" style="1" customWidth="1"/>
    <col min="11" max="15" width="28.7109375" style="1" customWidth="1"/>
    <col min="16" max="16384" width="9.140625" style="1"/>
  </cols>
  <sheetData>
    <row r="1" spans="1:15" s="2" customFormat="1" ht="31.9" thickBot="1">
      <c r="A1" s="60" t="s">
        <v>3</v>
      </c>
      <c r="B1" s="61"/>
    </row>
    <row r="2" spans="1:15" ht="48.75" customHeight="1" thickBot="1">
      <c r="A2" s="12" t="s">
        <v>4</v>
      </c>
      <c r="B2" s="41" t="s">
        <v>5</v>
      </c>
      <c r="C2" s="25" t="s">
        <v>6</v>
      </c>
      <c r="H2" s="48" t="s">
        <v>7</v>
      </c>
    </row>
    <row r="3" spans="1:15" ht="24" customHeight="1" thickBot="1">
      <c r="A3" s="40" t="s">
        <v>8</v>
      </c>
      <c r="B3" s="42" t="str">
        <f>IF('Team Info'!$B$5="","",'Team Info'!$B$5)</f>
        <v/>
      </c>
      <c r="H3" s="1" t="s">
        <v>9</v>
      </c>
      <c r="I3" s="1" t="s">
        <v>10</v>
      </c>
      <c r="J3" s="1" t="s">
        <v>11</v>
      </c>
      <c r="K3" s="1" t="s">
        <v>12</v>
      </c>
      <c r="L3" s="1" t="s">
        <v>13</v>
      </c>
      <c r="M3" s="1" t="s">
        <v>14</v>
      </c>
      <c r="N3" s="1" t="s">
        <v>15</v>
      </c>
      <c r="O3" s="1" t="s">
        <v>16</v>
      </c>
    </row>
    <row r="4" spans="1:15" ht="24" customHeight="1" thickBot="1">
      <c r="A4" s="40" t="s">
        <v>17</v>
      </c>
      <c r="B4" s="43" t="str">
        <f>"Team #"&amp;'Team Info'!$B$3</f>
        <v>Team #</v>
      </c>
      <c r="C4" s="25" t="s">
        <v>18</v>
      </c>
      <c r="H4" s="1">
        <v>0</v>
      </c>
      <c r="I4" s="1" t="s">
        <v>19</v>
      </c>
      <c r="J4" s="1" t="s">
        <v>19</v>
      </c>
      <c r="K4" s="1" t="s">
        <v>19</v>
      </c>
      <c r="L4" s="1" t="s">
        <v>19</v>
      </c>
      <c r="M4" s="1" t="s">
        <v>19</v>
      </c>
      <c r="N4" s="1" t="s">
        <v>19</v>
      </c>
      <c r="O4" s="1" t="s">
        <v>19</v>
      </c>
    </row>
    <row r="5" spans="1:15" ht="24" customHeight="1" thickBot="1">
      <c r="A5" s="40" t="s">
        <v>20</v>
      </c>
      <c r="B5" s="44" t="s">
        <v>21</v>
      </c>
      <c r="H5" s="1" t="s">
        <v>5</v>
      </c>
      <c r="I5" s="1" t="s">
        <v>22</v>
      </c>
      <c r="J5" s="1" t="s">
        <v>23</v>
      </c>
      <c r="K5" s="1" t="s">
        <v>22</v>
      </c>
      <c r="L5" s="1" t="s">
        <v>22</v>
      </c>
      <c r="M5" s="1" t="s">
        <v>22</v>
      </c>
      <c r="N5" s="1" t="s">
        <v>22</v>
      </c>
      <c r="O5" s="1" t="s">
        <v>22</v>
      </c>
    </row>
    <row r="6" spans="1:15" ht="16.149999999999999" thickBot="1">
      <c r="A6" s="6"/>
      <c r="H6" s="1" t="s">
        <v>5</v>
      </c>
      <c r="I6" s="1" t="s">
        <v>22</v>
      </c>
      <c r="J6" s="1" t="s">
        <v>23</v>
      </c>
      <c r="K6" s="1" t="s">
        <v>22</v>
      </c>
      <c r="L6" s="1" t="s">
        <v>22</v>
      </c>
      <c r="M6" s="1" t="s">
        <v>22</v>
      </c>
      <c r="N6" s="1" t="s">
        <v>22</v>
      </c>
      <c r="O6" s="1" t="s">
        <v>22</v>
      </c>
    </row>
    <row r="7" spans="1:15" ht="23.25" customHeight="1">
      <c r="A7" s="8" t="s">
        <v>24</v>
      </c>
      <c r="B7" s="38">
        <f ca="1">TODAY()</f>
        <v>45702</v>
      </c>
      <c r="H7" s="1" t="s">
        <v>5</v>
      </c>
      <c r="I7" s="1" t="s">
        <v>22</v>
      </c>
      <c r="J7" s="1" t="s">
        <v>23</v>
      </c>
      <c r="K7" s="1" t="s">
        <v>22</v>
      </c>
      <c r="L7" s="1" t="s">
        <v>22</v>
      </c>
      <c r="M7" s="1" t="s">
        <v>22</v>
      </c>
      <c r="N7" s="1" t="s">
        <v>22</v>
      </c>
      <c r="O7" s="1" t="s">
        <v>22</v>
      </c>
    </row>
    <row r="8" spans="1:15" ht="23.25" customHeight="1">
      <c r="A8" s="10" t="s">
        <v>25</v>
      </c>
      <c r="B8" s="36"/>
      <c r="H8" s="1" t="s">
        <v>5</v>
      </c>
      <c r="I8" s="1" t="s">
        <v>22</v>
      </c>
      <c r="J8" s="1" t="s">
        <v>23</v>
      </c>
      <c r="K8" s="1" t="s">
        <v>22</v>
      </c>
      <c r="L8" s="1" t="s">
        <v>22</v>
      </c>
      <c r="M8" s="1" t="s">
        <v>22</v>
      </c>
      <c r="N8" s="1" t="s">
        <v>22</v>
      </c>
      <c r="O8" s="1" t="s">
        <v>22</v>
      </c>
    </row>
    <row r="9" spans="1:15" ht="23.25" customHeight="1">
      <c r="A9" s="9" t="s">
        <v>26</v>
      </c>
      <c r="B9" s="39">
        <f ca="1">TODAY()</f>
        <v>45702</v>
      </c>
      <c r="H9" s="1" t="s">
        <v>5</v>
      </c>
      <c r="I9" s="1" t="s">
        <v>22</v>
      </c>
      <c r="J9" s="1" t="s">
        <v>23</v>
      </c>
      <c r="K9" s="1" t="s">
        <v>22</v>
      </c>
      <c r="L9" s="1" t="s">
        <v>22</v>
      </c>
      <c r="M9" s="1" t="s">
        <v>22</v>
      </c>
      <c r="N9" s="1" t="s">
        <v>22</v>
      </c>
      <c r="O9" s="1" t="s">
        <v>22</v>
      </c>
    </row>
    <row r="10" spans="1:15" ht="23.25" customHeight="1" thickBot="1">
      <c r="A10" s="11" t="s">
        <v>27</v>
      </c>
      <c r="B10" s="54"/>
      <c r="H10" s="1" t="s">
        <v>5</v>
      </c>
      <c r="I10" s="1" t="s">
        <v>22</v>
      </c>
      <c r="J10" s="1" t="s">
        <v>23</v>
      </c>
      <c r="K10" s="1" t="s">
        <v>22</v>
      </c>
      <c r="L10" s="1" t="s">
        <v>22</v>
      </c>
      <c r="M10" s="1" t="s">
        <v>22</v>
      </c>
      <c r="N10" s="1" t="s">
        <v>22</v>
      </c>
      <c r="O10" s="1" t="s">
        <v>22</v>
      </c>
    </row>
    <row r="11" spans="1:15" ht="23.25" customHeight="1" thickBot="1">
      <c r="A11" s="7"/>
      <c r="B11" s="5"/>
    </row>
    <row r="12" spans="1:15" ht="23.25" customHeight="1">
      <c r="A12" s="12" t="s">
        <v>28</v>
      </c>
      <c r="B12" s="14"/>
    </row>
    <row r="13" spans="1:15" ht="23.25" customHeight="1">
      <c r="A13" s="10" t="s">
        <v>29</v>
      </c>
      <c r="B13" s="15"/>
    </row>
    <row r="14" spans="1:15" ht="23.25" customHeight="1" thickBot="1">
      <c r="A14" s="13" t="s">
        <v>30</v>
      </c>
      <c r="B14" s="16"/>
    </row>
    <row r="15" spans="1:15" ht="23.25" customHeight="1" thickBot="1">
      <c r="A15" s="7"/>
      <c r="B15" s="5"/>
    </row>
    <row r="16" spans="1:15" ht="23.25" customHeight="1">
      <c r="A16" s="12" t="s">
        <v>11</v>
      </c>
      <c r="B16" s="14" t="s">
        <v>23</v>
      </c>
    </row>
    <row r="17" spans="1:3" ht="23.25" customHeight="1" thickBot="1">
      <c r="A17" s="13" t="s">
        <v>31</v>
      </c>
      <c r="B17" s="16"/>
    </row>
    <row r="18" spans="1:3" ht="23.25" customHeight="1" thickBot="1">
      <c r="A18" s="4"/>
      <c r="B18" s="5"/>
    </row>
    <row r="19" spans="1:3" ht="23.25" customHeight="1" thickBot="1">
      <c r="A19" s="50" t="s">
        <v>32</v>
      </c>
      <c r="B19" s="49" t="s">
        <v>33</v>
      </c>
    </row>
    <row r="20" spans="1:3" ht="23.25" customHeight="1" thickBot="1">
      <c r="A20" s="4"/>
      <c r="B20" s="5"/>
    </row>
    <row r="21" spans="1:3" ht="64.5" customHeight="1" thickBot="1">
      <c r="A21" s="62" t="s">
        <v>12</v>
      </c>
      <c r="B21" s="63"/>
      <c r="C21" s="33"/>
    </row>
    <row r="22" spans="1:3" ht="64.5" customHeight="1" thickBot="1">
      <c r="A22" s="58" t="s">
        <v>13</v>
      </c>
      <c r="B22" s="59"/>
      <c r="C22" s="33"/>
    </row>
    <row r="23" spans="1:3" ht="64.5" customHeight="1" thickBot="1">
      <c r="A23" s="62" t="s">
        <v>14</v>
      </c>
      <c r="B23" s="63"/>
      <c r="C23" s="33"/>
    </row>
    <row r="24" spans="1:3" ht="64.5" customHeight="1" thickBot="1">
      <c r="A24" s="58" t="s">
        <v>15</v>
      </c>
      <c r="B24" s="59"/>
      <c r="C24" s="33"/>
    </row>
    <row r="25" spans="1:3" ht="64.5" customHeight="1" thickBot="1">
      <c r="A25" s="58" t="s">
        <v>16</v>
      </c>
      <c r="B25" s="59"/>
      <c r="C25" s="33"/>
    </row>
  </sheetData>
  <mergeCells count="6">
    <mergeCell ref="A25:B25"/>
    <mergeCell ref="A1:B1"/>
    <mergeCell ref="A21:B21"/>
    <mergeCell ref="A22:B22"/>
    <mergeCell ref="A23:B23"/>
    <mergeCell ref="A24:B2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boBox2">
          <controlPr defaultSize="0" autoLine="0" autoPict="0" linkedCell="B16" listFillRange="'DONT TOUCH'!$J$2:$J$9" r:id="rId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027" r:id="rId4" name="ComboBox2"/>
      </mc:Fallback>
    </mc:AlternateContent>
    <mc:AlternateContent xmlns:mc="http://schemas.openxmlformats.org/markup-compatibility/2006">
      <mc:Choice Requires="x14">
        <control shapeId="1033" r:id="rId6" name="ComboBox1">
          <controlPr defaultSize="0" autoLine="0" autoPict="0" linkedCell="B19" listFillRange="'DONT TOUCH'!$L$2:$L$4" r:id="rId7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033" r:id="rId6" name="ComboBox1"/>
      </mc:Fallback>
    </mc:AlternateContent>
    <mc:AlternateContent xmlns:mc="http://schemas.openxmlformats.org/markup-compatibility/2006">
      <mc:Choice Requires="x14">
        <control shapeId="1028" r:id="rId8" name="Button 4">
          <controlPr defaultSize="0" print="0" autoFill="0" autoPict="0" macro="[0]!ClearForm">
            <anchor moveWithCells="1" sizeWithCells="1">
              <from>
                <xdr:col>2</xdr:col>
                <xdr:colOff>2727960</xdr:colOff>
                <xdr:row>11</xdr:row>
                <xdr:rowOff>175260</xdr:rowOff>
              </from>
              <to>
                <xdr:col>4</xdr:col>
                <xdr:colOff>0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GoSendToPDF">
            <anchor moveWithCells="1" sizeWithCells="1">
              <from>
                <xdr:col>2</xdr:col>
                <xdr:colOff>563880</xdr:colOff>
                <xdr:row>11</xdr:row>
                <xdr:rowOff>175260</xdr:rowOff>
              </from>
              <to>
                <xdr:col>2</xdr:col>
                <xdr:colOff>2400300</xdr:colOff>
                <xdr:row>15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0" name="Button 6">
          <controlPr defaultSize="0" print="0" autoFill="0" autoPict="0" macro="[0]!GoSendToPDF">
            <anchor moveWithCells="1" sizeWithCells="1">
              <from>
                <xdr:col>2</xdr:col>
                <xdr:colOff>1127760</xdr:colOff>
                <xdr:row>4</xdr:row>
                <xdr:rowOff>190500</xdr:rowOff>
              </from>
              <to>
                <xdr:col>3</xdr:col>
                <xdr:colOff>327660</xdr:colOff>
                <xdr:row>10</xdr:row>
                <xdr:rowOff>114300</xdr:rowOff>
              </to>
            </anchor>
          </controlPr>
        </control>
      </mc:Choice>
    </mc:AlternateContent>
  </controls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D58C6-357E-4894-8645-5E9A50BAE77D}">
  <sheetPr codeName="Sheet2"/>
  <dimension ref="A1:K46"/>
  <sheetViews>
    <sheetView tabSelected="1" topLeftCell="A26" zoomScale="75" zoomScaleNormal="130" workbookViewId="0">
      <selection activeCell="J7" sqref="J7"/>
    </sheetView>
  </sheetViews>
  <sheetFormatPr defaultRowHeight="14.45"/>
  <cols>
    <col min="1" max="1" width="4.42578125" customWidth="1"/>
    <col min="2" max="2" width="2.85546875" customWidth="1"/>
    <col min="3" max="3" width="2.140625" customWidth="1"/>
    <col min="4" max="4" width="10.7109375" customWidth="1"/>
    <col min="5" max="5" width="10.28515625" customWidth="1"/>
    <col min="6" max="6" width="12.140625" customWidth="1"/>
    <col min="7" max="7" width="11.85546875" customWidth="1"/>
    <col min="9" max="9" width="11.5703125" bestFit="1" customWidth="1"/>
    <col min="11" max="11" width="6" customWidth="1"/>
  </cols>
  <sheetData>
    <row r="1" spans="1:11" ht="15" customHeight="1">
      <c r="A1" s="64" t="str">
        <f>"IR"&amp;'Team Info'!$B$3&amp;'DONT TOUCH'!$S$2</f>
        <v>IR01</v>
      </c>
      <c r="B1" s="64"/>
      <c r="C1" s="64"/>
      <c r="D1" s="64"/>
    </row>
    <row r="2" spans="1:11" ht="15" customHeight="1">
      <c r="A2" s="64"/>
      <c r="B2" s="64"/>
      <c r="C2" s="64"/>
      <c r="D2" s="64"/>
    </row>
    <row r="3" spans="1:11">
      <c r="A3" s="27" t="s">
        <v>34</v>
      </c>
      <c r="B3" s="28" t="str">
        <f>'DONT TOUCH'!S3</f>
        <v/>
      </c>
      <c r="C3" s="26"/>
      <c r="D3" s="26"/>
    </row>
    <row r="4" spans="1:11">
      <c r="A4" s="27" t="s">
        <v>35</v>
      </c>
      <c r="B4" s="26"/>
      <c r="C4" s="28" t="str">
        <f>'DONT TOUCH'!S4</f>
        <v>Team #</v>
      </c>
      <c r="D4" s="26"/>
    </row>
    <row r="5" spans="1:11">
      <c r="A5" s="27" t="s">
        <v>36</v>
      </c>
      <c r="B5" s="26"/>
      <c r="C5" s="26"/>
      <c r="D5" s="28" t="str">
        <f>'DONT TOUCH'!S5</f>
        <v>Incident Report</v>
      </c>
    </row>
    <row r="7" spans="1:11" ht="18">
      <c r="A7" s="45" t="s">
        <v>37</v>
      </c>
    </row>
    <row r="9" spans="1:11">
      <c r="A9" s="65" t="s">
        <v>38</v>
      </c>
      <c r="B9" s="65"/>
      <c r="C9" s="65"/>
      <c r="D9" s="65"/>
      <c r="E9" s="32">
        <f ca="1">'DONT TOUCH'!S6</f>
        <v>45702</v>
      </c>
      <c r="F9" s="29"/>
      <c r="H9" s="31" t="s">
        <v>39</v>
      </c>
      <c r="I9" s="34" t="str">
        <f>'DONT TOUCH'!S7</f>
        <v/>
      </c>
      <c r="J9" s="29"/>
      <c r="K9" s="29"/>
    </row>
    <row r="10" spans="1:11">
      <c r="A10" s="65" t="s">
        <v>40</v>
      </c>
      <c r="B10" s="65"/>
      <c r="C10" s="65"/>
      <c r="D10" s="65"/>
      <c r="E10" s="32">
        <f ca="1">'DONT TOUCH'!S8</f>
        <v>45702</v>
      </c>
      <c r="F10" s="29"/>
      <c r="H10" s="31" t="s">
        <v>41</v>
      </c>
      <c r="I10" s="34" t="str">
        <f>'DONT TOUCH'!S9</f>
        <v/>
      </c>
      <c r="J10" s="29"/>
      <c r="K10" s="29"/>
    </row>
    <row r="12" spans="1:11">
      <c r="A12" s="65" t="s">
        <v>42</v>
      </c>
      <c r="B12" s="65"/>
      <c r="C12" s="65"/>
      <c r="D12" s="65"/>
      <c r="E12" s="34" t="str">
        <f>'DONT TOUCH'!S10</f>
        <v/>
      </c>
      <c r="F12" s="29"/>
      <c r="H12" s="30" t="s">
        <v>43</v>
      </c>
      <c r="I12" s="34" t="str">
        <f>'DONT TOUCH'!$P$11</f>
        <v/>
      </c>
      <c r="J12" s="29"/>
      <c r="K12" s="29"/>
    </row>
    <row r="13" spans="1:11">
      <c r="A13" s="65" t="s">
        <v>44</v>
      </c>
      <c r="B13" s="65"/>
      <c r="C13" s="65"/>
      <c r="D13" s="65"/>
      <c r="E13" s="47" t="str">
        <f>'DONT TOUCH'!S12</f>
        <v/>
      </c>
      <c r="F13" s="29"/>
    </row>
    <row r="15" spans="1:11">
      <c r="A15" s="65" t="s">
        <v>45</v>
      </c>
      <c r="B15" s="65"/>
      <c r="C15" s="65"/>
      <c r="D15" s="65"/>
      <c r="E15" s="34" t="str">
        <f>'DONT TOUCH'!S13</f>
        <v>Denial of Service</v>
      </c>
      <c r="F15" s="29"/>
      <c r="H15" s="51" t="s">
        <v>46</v>
      </c>
      <c r="I15" s="52" t="str">
        <f>'DONT TOUCH'!$S$20</f>
        <v>Medium</v>
      </c>
      <c r="J15" s="29"/>
      <c r="K15" s="29"/>
    </row>
    <row r="16" spans="1:11">
      <c r="A16" s="65" t="s">
        <v>47</v>
      </c>
      <c r="B16" s="65"/>
      <c r="C16" s="65"/>
      <c r="D16" s="65"/>
      <c r="E16" s="46" t="str">
        <f>'DONT TOUCH'!S14</f>
        <v/>
      </c>
      <c r="F16" s="29"/>
      <c r="G16" s="29"/>
      <c r="H16" s="29"/>
      <c r="I16" s="29"/>
      <c r="J16" s="29"/>
      <c r="K16" s="29"/>
    </row>
    <row r="18" spans="1:11">
      <c r="A18" s="66" t="s">
        <v>48</v>
      </c>
      <c r="B18" s="66"/>
      <c r="C18" s="66"/>
      <c r="D18" s="66"/>
      <c r="E18" s="67" t="str">
        <f>'DONT TOUCH'!S15</f>
        <v/>
      </c>
      <c r="F18" s="67"/>
      <c r="G18" s="67"/>
      <c r="H18" s="67"/>
      <c r="I18" s="67"/>
      <c r="J18" s="67"/>
      <c r="K18" s="67"/>
    </row>
    <row r="19" spans="1:1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7"/>
    </row>
    <row r="20" spans="1:11">
      <c r="A20" s="30"/>
      <c r="B20" s="30"/>
      <c r="C20" s="30"/>
      <c r="D20" s="30"/>
      <c r="E20" s="67"/>
      <c r="F20" s="67"/>
      <c r="G20" s="67"/>
      <c r="H20" s="67"/>
      <c r="I20" s="67"/>
      <c r="J20" s="67"/>
      <c r="K20" s="67"/>
    </row>
    <row r="21" spans="1:11">
      <c r="A21" s="30"/>
      <c r="B21" s="30"/>
      <c r="C21" s="30"/>
      <c r="D21" s="30"/>
      <c r="E21" s="67"/>
      <c r="F21" s="67"/>
      <c r="G21" s="67"/>
      <c r="H21" s="67"/>
      <c r="I21" s="67"/>
      <c r="J21" s="67"/>
      <c r="K21" s="67"/>
    </row>
    <row r="23" spans="1:11">
      <c r="A23" s="66" t="s">
        <v>49</v>
      </c>
      <c r="B23" s="66"/>
      <c r="C23" s="66"/>
      <c r="D23" s="66"/>
      <c r="E23" s="67" t="str">
        <f>'DONT TOUCH'!S16</f>
        <v/>
      </c>
      <c r="F23" s="67"/>
      <c r="G23" s="67"/>
      <c r="H23" s="67"/>
      <c r="I23" s="67"/>
      <c r="J23" s="67"/>
      <c r="K23" s="67"/>
    </row>
    <row r="24" spans="1:11">
      <c r="A24" s="30"/>
      <c r="B24" s="30"/>
      <c r="C24" s="30"/>
      <c r="D24" s="30"/>
      <c r="E24" s="67"/>
      <c r="F24" s="67"/>
      <c r="G24" s="67"/>
      <c r="H24" s="67"/>
      <c r="I24" s="67"/>
      <c r="J24" s="67"/>
      <c r="K24" s="67"/>
    </row>
    <row r="25" spans="1:11">
      <c r="A25" s="30"/>
      <c r="B25" s="30"/>
      <c r="C25" s="30"/>
      <c r="D25" s="30"/>
      <c r="E25" s="67"/>
      <c r="F25" s="67"/>
      <c r="G25" s="67"/>
      <c r="H25" s="67"/>
      <c r="I25" s="67"/>
      <c r="J25" s="67"/>
      <c r="K25" s="67"/>
    </row>
    <row r="26" spans="1:11">
      <c r="A26" s="30"/>
      <c r="B26" s="30"/>
      <c r="C26" s="30"/>
      <c r="D26" s="35"/>
      <c r="E26" s="67"/>
      <c r="F26" s="67"/>
      <c r="G26" s="67"/>
      <c r="H26" s="67"/>
      <c r="I26" s="67"/>
      <c r="J26" s="67"/>
      <c r="K26" s="67"/>
    </row>
    <row r="28" spans="1:11">
      <c r="A28" s="66" t="s">
        <v>50</v>
      </c>
      <c r="B28" s="66"/>
      <c r="C28" s="66"/>
      <c r="D28" s="66"/>
      <c r="E28" s="67" t="str">
        <f>'DONT TOUCH'!S17</f>
        <v/>
      </c>
      <c r="F28" s="67"/>
      <c r="G28" s="67"/>
      <c r="H28" s="67"/>
      <c r="I28" s="67"/>
      <c r="J28" s="67"/>
      <c r="K28" s="67"/>
    </row>
    <row r="29" spans="1:11">
      <c r="A29" s="30"/>
      <c r="B29" s="30"/>
      <c r="C29" s="30"/>
      <c r="D29" s="30"/>
      <c r="E29" s="67"/>
      <c r="F29" s="67"/>
      <c r="G29" s="67"/>
      <c r="H29" s="67"/>
      <c r="I29" s="67"/>
      <c r="J29" s="67"/>
      <c r="K29" s="67"/>
    </row>
    <row r="30" spans="1:11">
      <c r="A30" s="30"/>
      <c r="B30" s="30"/>
      <c r="C30" s="30"/>
      <c r="D30" s="30"/>
      <c r="E30" s="67"/>
      <c r="F30" s="67"/>
      <c r="G30" s="67"/>
      <c r="H30" s="67"/>
      <c r="I30" s="67"/>
      <c r="J30" s="67"/>
      <c r="K30" s="67"/>
    </row>
    <row r="31" spans="1:11">
      <c r="A31" s="30"/>
      <c r="B31" s="30"/>
      <c r="C31" s="30"/>
      <c r="D31" s="30"/>
      <c r="E31" s="67"/>
      <c r="F31" s="67"/>
      <c r="G31" s="67"/>
      <c r="H31" s="67"/>
      <c r="I31" s="67"/>
      <c r="J31" s="67"/>
      <c r="K31" s="67"/>
    </row>
    <row r="33" spans="1:11">
      <c r="A33" s="66" t="s">
        <v>51</v>
      </c>
      <c r="B33" s="66"/>
      <c r="C33" s="66"/>
      <c r="D33" s="66"/>
      <c r="E33" s="67" t="str">
        <f>'DONT TOUCH'!S18</f>
        <v/>
      </c>
      <c r="F33" s="67"/>
      <c r="G33" s="67"/>
      <c r="H33" s="67"/>
      <c r="I33" s="67"/>
      <c r="J33" s="67"/>
      <c r="K33" s="67"/>
    </row>
    <row r="34" spans="1:1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7"/>
    </row>
    <row r="35" spans="1:11">
      <c r="A35" s="30"/>
      <c r="B35" s="30"/>
      <c r="C35" s="30"/>
      <c r="D35" s="30"/>
      <c r="E35" s="67"/>
      <c r="F35" s="67"/>
      <c r="G35" s="67"/>
      <c r="H35" s="67"/>
      <c r="I35" s="67"/>
      <c r="J35" s="67"/>
      <c r="K35" s="67"/>
    </row>
    <row r="36" spans="1:11">
      <c r="A36" s="30"/>
      <c r="B36" s="30"/>
      <c r="C36" s="30"/>
      <c r="D36" s="30"/>
      <c r="E36" s="67"/>
      <c r="F36" s="67"/>
      <c r="G36" s="67"/>
      <c r="H36" s="67"/>
      <c r="I36" s="67"/>
      <c r="J36" s="67"/>
      <c r="K36" s="67"/>
    </row>
    <row r="38" spans="1:11">
      <c r="A38" s="69" t="s">
        <v>52</v>
      </c>
      <c r="B38" s="69"/>
      <c r="C38" s="69"/>
      <c r="D38" s="69"/>
      <c r="E38" s="67" t="str">
        <f>'DONT TOUCH'!S19</f>
        <v/>
      </c>
      <c r="F38" s="67"/>
      <c r="G38" s="67"/>
      <c r="H38" s="67"/>
      <c r="I38" s="67"/>
      <c r="J38" s="67"/>
      <c r="K38" s="67"/>
    </row>
    <row r="39" spans="1:11">
      <c r="A39" s="30"/>
      <c r="B39" s="30"/>
      <c r="C39" s="30"/>
      <c r="D39" s="30"/>
      <c r="E39" s="67"/>
      <c r="F39" s="67"/>
      <c r="G39" s="67"/>
      <c r="H39" s="67"/>
      <c r="I39" s="67"/>
      <c r="J39" s="67"/>
      <c r="K39" s="67"/>
    </row>
    <row r="40" spans="1:11">
      <c r="A40" s="30"/>
      <c r="B40" s="30"/>
      <c r="C40" s="30"/>
      <c r="D40" s="30"/>
      <c r="E40" s="67"/>
      <c r="F40" s="67"/>
      <c r="G40" s="67"/>
      <c r="H40" s="67"/>
      <c r="I40" s="67"/>
      <c r="J40" s="67"/>
      <c r="K40" s="67"/>
    </row>
    <row r="41" spans="1:11">
      <c r="A41" s="30"/>
      <c r="B41" s="30"/>
      <c r="C41" s="30"/>
      <c r="D41" s="30"/>
      <c r="E41" s="67"/>
      <c r="F41" s="67"/>
      <c r="G41" s="67"/>
      <c r="H41" s="67"/>
      <c r="I41" s="67"/>
      <c r="J41" s="67"/>
      <c r="K41" s="67"/>
    </row>
    <row r="43" spans="1:11">
      <c r="A43" s="68" t="s">
        <v>53</v>
      </c>
      <c r="B43" s="68"/>
      <c r="C43" s="68"/>
      <c r="D43" s="68"/>
      <c r="E43" s="68"/>
      <c r="F43" s="68"/>
      <c r="G43" s="68"/>
      <c r="H43" s="68"/>
      <c r="I43" s="68"/>
      <c r="J43" s="68"/>
      <c r="K43" s="68"/>
    </row>
    <row r="45" spans="1:11">
      <c r="A45" s="28" t="s">
        <v>54</v>
      </c>
    </row>
    <row r="46" spans="1:11">
      <c r="G46" s="30" t="s">
        <v>55</v>
      </c>
      <c r="H46" s="34" t="str">
        <f>'DONT TOUCH'!S4</f>
        <v>Team #</v>
      </c>
      <c r="I46" s="29"/>
      <c r="J46" s="29"/>
      <c r="K46" s="29"/>
    </row>
  </sheetData>
  <protectedRanges>
    <protectedRange sqref="A47:K1048576" name="Screenshots"/>
  </protectedRanges>
  <mergeCells count="18">
    <mergeCell ref="A43:K43"/>
    <mergeCell ref="A38:D38"/>
    <mergeCell ref="A33:D34"/>
    <mergeCell ref="A28:D28"/>
    <mergeCell ref="A23:D23"/>
    <mergeCell ref="E38:K41"/>
    <mergeCell ref="E33:K36"/>
    <mergeCell ref="E28:K31"/>
    <mergeCell ref="A15:D15"/>
    <mergeCell ref="A16:D16"/>
    <mergeCell ref="A18:D19"/>
    <mergeCell ref="E23:K26"/>
    <mergeCell ref="E18:K21"/>
    <mergeCell ref="A1:D2"/>
    <mergeCell ref="A9:D9"/>
    <mergeCell ref="A10:D10"/>
    <mergeCell ref="A12:D12"/>
    <mergeCell ref="A13:D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oToForm">
                <anchor moveWithCells="1" sizeWithCells="1">
                  <from>
                    <xdr:col>14</xdr:col>
                    <xdr:colOff>106680</xdr:colOff>
                    <xdr:row>17</xdr:row>
                    <xdr:rowOff>160020</xdr:rowOff>
                  </from>
                  <to>
                    <xdr:col>17</xdr:col>
                    <xdr:colOff>441960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rintPDF">
                <anchor moveWithCells="1" sizeWithCells="1">
                  <from>
                    <xdr:col>13</xdr:col>
                    <xdr:colOff>518160</xdr:colOff>
                    <xdr:row>7</xdr:row>
                    <xdr:rowOff>106680</xdr:rowOff>
                  </from>
                  <to>
                    <xdr:col>18</xdr:col>
                    <xdr:colOff>60960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FC85-D120-4AFC-B505-40D5577F31B4}">
  <sheetPr codeName="Sheet3"/>
  <dimension ref="A1:S20"/>
  <sheetViews>
    <sheetView topLeftCell="F1" workbookViewId="0">
      <selection activeCell="S19" sqref="S19"/>
    </sheetView>
  </sheetViews>
  <sheetFormatPr defaultColWidth="9.140625" defaultRowHeight="18"/>
  <cols>
    <col min="1" max="1" width="19.85546875" style="17" hidden="1" customWidth="1"/>
    <col min="2" max="2" width="15.7109375" style="17" hidden="1" customWidth="1"/>
    <col min="3" max="3" width="22" style="17" hidden="1" customWidth="1"/>
    <col min="4" max="4" width="0" style="17" hidden="1" customWidth="1"/>
    <col min="5" max="5" width="20.140625" style="17" hidden="1" customWidth="1"/>
    <col min="6" max="6" width="19.85546875" style="17" bestFit="1" customWidth="1"/>
    <col min="7" max="7" width="15.7109375" style="17" bestFit="1" customWidth="1"/>
    <col min="8" max="8" width="22" style="17" bestFit="1" customWidth="1"/>
    <col min="9" max="9" width="9.140625" style="17"/>
    <col min="10" max="10" width="26.42578125" style="17" bestFit="1" customWidth="1"/>
    <col min="11" max="11" width="9.140625" style="17"/>
    <col min="12" max="12" width="11.7109375" style="17" customWidth="1"/>
    <col min="13" max="14" width="9.140625" style="17"/>
    <col min="15" max="15" width="13.28515625" style="17" customWidth="1"/>
    <col min="16" max="16" width="13.7109375" style="17" customWidth="1"/>
    <col min="17" max="17" width="9.140625" style="17"/>
    <col min="18" max="18" width="14.42578125" style="17" customWidth="1"/>
    <col min="19" max="19" width="14.5703125" style="17" customWidth="1"/>
    <col min="20" max="16384" width="9.140625" style="17"/>
  </cols>
  <sheetData>
    <row r="1" spans="6:19">
      <c r="F1" s="17" t="s">
        <v>56</v>
      </c>
      <c r="G1" s="17" t="s">
        <v>57</v>
      </c>
      <c r="H1" s="17" t="s">
        <v>58</v>
      </c>
      <c r="J1" s="17" t="s">
        <v>11</v>
      </c>
      <c r="L1" s="17" t="s">
        <v>32</v>
      </c>
      <c r="O1" s="18" t="s">
        <v>59</v>
      </c>
      <c r="P1" s="19"/>
      <c r="R1" s="18" t="s">
        <v>60</v>
      </c>
      <c r="S1" s="19"/>
    </row>
    <row r="2" spans="6:19">
      <c r="L2" s="17" t="s">
        <v>61</v>
      </c>
      <c r="O2" s="20" t="s">
        <v>4</v>
      </c>
      <c r="P2" s="21" t="str">
        <f>IF('REPORT FORM'!B2="","",'REPORT FORM'!B2)</f>
        <v>01</v>
      </c>
      <c r="R2" s="20" t="s">
        <v>4</v>
      </c>
      <c r="S2" s="21" t="str">
        <f>P2</f>
        <v>01</v>
      </c>
    </row>
    <row r="3" spans="6:19">
      <c r="F3" s="17" t="s">
        <v>62</v>
      </c>
      <c r="H3" s="17" t="s">
        <v>63</v>
      </c>
      <c r="J3" s="17" t="s">
        <v>23</v>
      </c>
      <c r="L3" s="17" t="s">
        <v>33</v>
      </c>
      <c r="O3" s="20" t="s">
        <v>8</v>
      </c>
      <c r="P3" s="21" t="str">
        <f>IF('REPORT FORM'!B3="","",'REPORT FORM'!B3)</f>
        <v/>
      </c>
      <c r="R3" s="20" t="s">
        <v>8</v>
      </c>
      <c r="S3" s="21" t="str">
        <f t="shared" ref="S3:S19" si="0">P3</f>
        <v/>
      </c>
    </row>
    <row r="4" spans="6:19">
      <c r="F4" s="17" t="s">
        <v>64</v>
      </c>
      <c r="H4" s="17" t="s">
        <v>65</v>
      </c>
      <c r="J4" s="17" t="s">
        <v>66</v>
      </c>
      <c r="L4" s="17" t="s">
        <v>67</v>
      </c>
      <c r="O4" s="20" t="s">
        <v>17</v>
      </c>
      <c r="P4" s="21" t="str">
        <f>IF('REPORT FORM'!B4="","",'REPORT FORM'!B4)</f>
        <v>Team #</v>
      </c>
      <c r="R4" s="20" t="s">
        <v>17</v>
      </c>
      <c r="S4" s="21" t="str">
        <f t="shared" si="0"/>
        <v>Team #</v>
      </c>
    </row>
    <row r="5" spans="6:19">
      <c r="F5" s="17" t="s">
        <v>68</v>
      </c>
      <c r="H5" s="17" t="s">
        <v>69</v>
      </c>
      <c r="J5" s="17" t="s">
        <v>70</v>
      </c>
      <c r="O5" s="20" t="s">
        <v>20</v>
      </c>
      <c r="P5" s="21" t="str">
        <f>IF('REPORT FORM'!B5="","",'REPORT FORM'!B5)</f>
        <v>Incident Report</v>
      </c>
      <c r="R5" s="20" t="s">
        <v>20</v>
      </c>
      <c r="S5" s="21" t="str">
        <f t="shared" si="0"/>
        <v>Incident Report</v>
      </c>
    </row>
    <row r="6" spans="6:19">
      <c r="F6" s="17" t="s">
        <v>71</v>
      </c>
      <c r="H6" s="17" t="s">
        <v>72</v>
      </c>
      <c r="J6" s="17" t="s">
        <v>73</v>
      </c>
      <c r="O6" s="20" t="s">
        <v>24</v>
      </c>
      <c r="P6" s="22">
        <f ca="1">'REPORT FORM'!B7</f>
        <v>45702</v>
      </c>
      <c r="R6" s="20" t="s">
        <v>24</v>
      </c>
      <c r="S6" s="22">
        <f t="shared" ca="1" si="0"/>
        <v>45702</v>
      </c>
    </row>
    <row r="7" spans="6:19">
      <c r="F7" s="17" t="s">
        <v>74</v>
      </c>
      <c r="H7" s="17" t="s">
        <v>75</v>
      </c>
      <c r="J7" s="17" t="s">
        <v>76</v>
      </c>
      <c r="O7" s="20" t="s">
        <v>25</v>
      </c>
      <c r="P7" s="21" t="str">
        <f>IF('REPORT FORM'!B8="","",'REPORT FORM'!B8)</f>
        <v/>
      </c>
      <c r="R7" s="20" t="s">
        <v>25</v>
      </c>
      <c r="S7" s="37" t="str">
        <f t="shared" si="0"/>
        <v/>
      </c>
    </row>
    <row r="8" spans="6:19">
      <c r="F8" s="17" t="s">
        <v>77</v>
      </c>
      <c r="H8" s="17" t="s">
        <v>78</v>
      </c>
      <c r="J8" s="17" t="s">
        <v>79</v>
      </c>
      <c r="O8" s="20" t="s">
        <v>26</v>
      </c>
      <c r="P8" s="22">
        <f ca="1">'REPORT FORM'!B9</f>
        <v>45702</v>
      </c>
      <c r="R8" s="20" t="s">
        <v>26</v>
      </c>
      <c r="S8" s="22">
        <f t="shared" ca="1" si="0"/>
        <v>45702</v>
      </c>
    </row>
    <row r="9" spans="6:19">
      <c r="F9" s="17" t="s">
        <v>80</v>
      </c>
      <c r="H9" s="17" t="s">
        <v>81</v>
      </c>
      <c r="J9" s="17" t="s">
        <v>82</v>
      </c>
      <c r="O9" s="20" t="s">
        <v>27</v>
      </c>
      <c r="P9" s="21" t="str">
        <f>IF('REPORT FORM'!B10="","",'REPORT FORM'!B10)</f>
        <v/>
      </c>
      <c r="R9" s="20" t="s">
        <v>27</v>
      </c>
      <c r="S9" s="37" t="str">
        <f t="shared" si="0"/>
        <v/>
      </c>
    </row>
    <row r="10" spans="6:19">
      <c r="F10" s="17" t="s">
        <v>83</v>
      </c>
      <c r="H10" s="17" t="s">
        <v>84</v>
      </c>
      <c r="O10" s="20" t="s">
        <v>28</v>
      </c>
      <c r="P10" s="21" t="str">
        <f>IF('REPORT FORM'!B12="","",'REPORT FORM'!B12)</f>
        <v/>
      </c>
      <c r="R10" s="20" t="s">
        <v>28</v>
      </c>
      <c r="S10" s="21" t="str">
        <f t="shared" si="0"/>
        <v/>
      </c>
    </row>
    <row r="11" spans="6:19">
      <c r="F11" s="17" t="s">
        <v>85</v>
      </c>
      <c r="H11" s="17" t="s">
        <v>86</v>
      </c>
      <c r="O11" s="20" t="s">
        <v>29</v>
      </c>
      <c r="P11" s="21" t="str">
        <f>IF('REPORT FORM'!B13="","",'REPORT FORM'!B13)</f>
        <v/>
      </c>
      <c r="R11" s="20" t="s">
        <v>29</v>
      </c>
      <c r="S11" s="21"/>
    </row>
    <row r="12" spans="6:19">
      <c r="F12" s="17" t="s">
        <v>87</v>
      </c>
      <c r="H12" s="17" t="s">
        <v>88</v>
      </c>
      <c r="O12" s="20" t="s">
        <v>30</v>
      </c>
      <c r="P12" s="21" t="str">
        <f>IF('REPORT FORM'!B14="","",'REPORT FORM'!B14)</f>
        <v/>
      </c>
      <c r="R12" s="20" t="s">
        <v>30</v>
      </c>
      <c r="S12" s="21" t="str">
        <f t="shared" si="0"/>
        <v/>
      </c>
    </row>
    <row r="13" spans="6:19">
      <c r="F13" s="17" t="s">
        <v>89</v>
      </c>
      <c r="H13" s="17" t="s">
        <v>89</v>
      </c>
      <c r="O13" s="20" t="s">
        <v>11</v>
      </c>
      <c r="P13" s="21" t="str">
        <f>IF('REPORT FORM'!B16="","",'REPORT FORM'!B16)</f>
        <v>Denial of Service</v>
      </c>
      <c r="R13" s="20" t="s">
        <v>11</v>
      </c>
      <c r="S13" s="21" t="str">
        <f t="shared" si="0"/>
        <v>Denial of Service</v>
      </c>
    </row>
    <row r="14" spans="6:19">
      <c r="F14" s="17" t="s">
        <v>90</v>
      </c>
      <c r="H14" s="17" t="s">
        <v>90</v>
      </c>
      <c r="O14" s="20" t="s">
        <v>31</v>
      </c>
      <c r="P14" s="21" t="str">
        <f>IF('REPORT FORM'!B17="","",'REPORT FORM'!B17)</f>
        <v/>
      </c>
      <c r="R14" s="20" t="s">
        <v>31</v>
      </c>
      <c r="S14" s="21" t="str">
        <f t="shared" si="0"/>
        <v/>
      </c>
    </row>
    <row r="15" spans="6:19">
      <c r="O15" s="20" t="s">
        <v>12</v>
      </c>
      <c r="P15" s="21" t="str">
        <f>IF('REPORT FORM'!C21="","",'REPORT FORM'!C21)</f>
        <v/>
      </c>
      <c r="R15" s="20" t="s">
        <v>12</v>
      </c>
      <c r="S15" s="21" t="str">
        <f t="shared" si="0"/>
        <v/>
      </c>
    </row>
    <row r="16" spans="6:19">
      <c r="O16" s="20" t="s">
        <v>13</v>
      </c>
      <c r="P16" s="21" t="str">
        <f>IF('REPORT FORM'!C22="","",'REPORT FORM'!C22)</f>
        <v/>
      </c>
      <c r="R16" s="20" t="s">
        <v>13</v>
      </c>
      <c r="S16" s="21" t="str">
        <f t="shared" si="0"/>
        <v/>
      </c>
    </row>
    <row r="17" spans="15:19">
      <c r="O17" s="20" t="s">
        <v>14</v>
      </c>
      <c r="P17" s="21" t="str">
        <f>IF('REPORT FORM'!C23="","",'REPORT FORM'!C23)</f>
        <v/>
      </c>
      <c r="R17" s="20" t="s">
        <v>14</v>
      </c>
      <c r="S17" s="21" t="str">
        <f t="shared" si="0"/>
        <v/>
      </c>
    </row>
    <row r="18" spans="15:19">
      <c r="O18" s="20" t="s">
        <v>15</v>
      </c>
      <c r="P18" s="21" t="str">
        <f>IF('REPORT FORM'!C24="","",'REPORT FORM'!C24)</f>
        <v/>
      </c>
      <c r="R18" s="20" t="s">
        <v>15</v>
      </c>
      <c r="S18" s="21" t="str">
        <f t="shared" si="0"/>
        <v/>
      </c>
    </row>
    <row r="19" spans="15:19" ht="18.600000000000001" thickBot="1">
      <c r="O19" s="23" t="s">
        <v>16</v>
      </c>
      <c r="P19" s="24" t="str">
        <f>IF('REPORT FORM'!C25="","",'REPORT FORM'!C25)</f>
        <v/>
      </c>
      <c r="R19" s="23" t="s">
        <v>16</v>
      </c>
      <c r="S19" s="24" t="str">
        <f t="shared" si="0"/>
        <v/>
      </c>
    </row>
    <row r="20" spans="15:19">
      <c r="R20" s="17" t="s">
        <v>32</v>
      </c>
      <c r="S20" s="17" t="str">
        <f>'REPORT FORM'!B19</f>
        <v>Medium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D3079D7BCF6A4292EB859EAA2FAFC3" ma:contentTypeVersion="4" ma:contentTypeDescription="Create a new document." ma:contentTypeScope="" ma:versionID="a225f9a32a419f3275c5a06e41856ef8">
  <xsd:schema xmlns:xsd="http://www.w3.org/2001/XMLSchema" xmlns:xs="http://www.w3.org/2001/XMLSchema" xmlns:p="http://schemas.microsoft.com/office/2006/metadata/properties" xmlns:ns2="d14e3ac3-ef00-4052-9e8e-39e5a896c49b" targetNamespace="http://schemas.microsoft.com/office/2006/metadata/properties" ma:root="true" ma:fieldsID="1658f5763519121111ae9c92dbeee7ee" ns2:_="">
    <xsd:import namespace="d14e3ac3-ef00-4052-9e8e-39e5a896c49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4e3ac3-ef00-4052-9e8e-39e5a896c4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660BD6-8747-4976-BAED-0BA0595837A0}"/>
</file>

<file path=customXml/itemProps2.xml><?xml version="1.0" encoding="utf-8"?>
<ds:datastoreItem xmlns:ds="http://schemas.openxmlformats.org/officeDocument/2006/customXml" ds:itemID="{E8C43F9C-558C-44B6-AAA4-C286778A8262}"/>
</file>

<file path=customXml/itemProps3.xml><?xml version="1.0" encoding="utf-8"?>
<ds:datastoreItem xmlns:ds="http://schemas.openxmlformats.org/officeDocument/2006/customXml" ds:itemID="{98D126CD-7C90-4A61-B24F-FD607DF5DAA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Caleb Long</dc:creator>
  <cp:keywords/>
  <dc:description/>
  <cp:lastModifiedBy>Olson, Tyler S</cp:lastModifiedBy>
  <cp:revision/>
  <dcterms:created xsi:type="dcterms:W3CDTF">2021-02-27T04:28:57Z</dcterms:created>
  <dcterms:modified xsi:type="dcterms:W3CDTF">2025-02-14T22:32:32Z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0x010100B0D3079D7BCF6A4292EB859EAA2FAFC3</vt:lpwstr>
  </property>
</Properties>
</file>